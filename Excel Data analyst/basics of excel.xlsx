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28d9d5d3be60dec/Desktop/Excel Data analyst/"/>
    </mc:Choice>
  </mc:AlternateContent>
  <xr:revisionPtr revIDLastSave="0" documentId="8_{E8D8717A-DDEA-49AA-8BF9-0AA0339ED1CA}" xr6:coauthVersionLast="47" xr6:coauthVersionMax="47" xr10:uidLastSave="{00000000-0000-0000-0000-000000000000}"/>
  <bookViews>
    <workbookView xWindow="-108" yWindow="-108" windowWidth="23256" windowHeight="12456" xr2:uid="{F307AD45-EBF2-429D-93FF-C9496ECBB05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V16" i="1" l="1"/>
  <c r="V17" i="1"/>
  <c r="V18" i="1"/>
  <c r="V19" i="1"/>
  <c r="V20" i="1"/>
  <c r="V21" i="1"/>
  <c r="V22" i="1"/>
  <c r="V23" i="1"/>
  <c r="V24" i="1"/>
  <c r="V15" i="1"/>
  <c r="U16" i="1"/>
  <c r="U17" i="1"/>
  <c r="U18" i="1"/>
  <c r="U19" i="1"/>
  <c r="U20" i="1"/>
  <c r="U21" i="1"/>
  <c r="U22" i="1"/>
  <c r="U23" i="1"/>
  <c r="U24" i="1"/>
  <c r="U15" i="1"/>
  <c r="T16" i="1"/>
  <c r="T17" i="1"/>
  <c r="T18" i="1"/>
  <c r="T19" i="1"/>
  <c r="T20" i="1"/>
  <c r="T21" i="1"/>
  <c r="T22" i="1"/>
  <c r="T23" i="1"/>
  <c r="T24" i="1"/>
  <c r="T15" i="1"/>
  <c r="S16" i="1"/>
  <c r="S17" i="1"/>
  <c r="S18" i="1"/>
  <c r="S19" i="1"/>
  <c r="S20" i="1"/>
  <c r="S21" i="1"/>
  <c r="S22" i="1"/>
  <c r="S23" i="1"/>
  <c r="S24" i="1"/>
  <c r="S15" i="1"/>
  <c r="Q16" i="1"/>
  <c r="Q17" i="1"/>
  <c r="Q18" i="1"/>
  <c r="Q19" i="1"/>
  <c r="Q20" i="1"/>
  <c r="Q21" i="1"/>
  <c r="Q22" i="1"/>
  <c r="Q23" i="1"/>
  <c r="Q24" i="1"/>
  <c r="Q15" i="1"/>
  <c r="N26" i="1"/>
  <c r="O26" i="1"/>
  <c r="M26" i="1"/>
  <c r="C25" i="1"/>
  <c r="C27" i="1" s="1"/>
</calcChain>
</file>

<file path=xl/sharedStrings.xml><?xml version="1.0" encoding="utf-8"?>
<sst xmlns="http://schemas.openxmlformats.org/spreadsheetml/2006/main" count="82" uniqueCount="60">
  <si>
    <t>SR No</t>
  </si>
  <si>
    <t>Name of Employee</t>
  </si>
  <si>
    <t>Salary</t>
  </si>
  <si>
    <t>EMP001</t>
  </si>
  <si>
    <t>EMP002</t>
  </si>
  <si>
    <t>EMP003</t>
  </si>
  <si>
    <t>EMP004</t>
  </si>
  <si>
    <t>EMP005</t>
  </si>
  <si>
    <t>EMP006</t>
  </si>
  <si>
    <t>EMP007</t>
  </si>
  <si>
    <t>EMP008</t>
  </si>
  <si>
    <t>EMP009</t>
  </si>
  <si>
    <t>EMP010</t>
  </si>
  <si>
    <t>EMP011</t>
  </si>
  <si>
    <t>EMP012</t>
  </si>
  <si>
    <t>EMP013</t>
  </si>
  <si>
    <t>EMP014</t>
  </si>
  <si>
    <t>EMP015</t>
  </si>
  <si>
    <t>EMP016</t>
  </si>
  <si>
    <t>EMP017</t>
  </si>
  <si>
    <t>EMP018</t>
  </si>
  <si>
    <t>EMP019</t>
  </si>
  <si>
    <t>EMP020</t>
  </si>
  <si>
    <t>EMP021</t>
  </si>
  <si>
    <t>Joining data</t>
  </si>
  <si>
    <t>Department</t>
  </si>
  <si>
    <t>Employee_1</t>
  </si>
  <si>
    <t>Employee_2</t>
  </si>
  <si>
    <t>Employee_3</t>
  </si>
  <si>
    <t>Employee_4</t>
  </si>
  <si>
    <t>Employee_5</t>
  </si>
  <si>
    <t>Employee_6</t>
  </si>
  <si>
    <t>Employee_7</t>
  </si>
  <si>
    <t>Employee_8</t>
  </si>
  <si>
    <t>Employee_9</t>
  </si>
  <si>
    <t>Employee_10</t>
  </si>
  <si>
    <t>Employee_11</t>
  </si>
  <si>
    <t>Employee_12</t>
  </si>
  <si>
    <t>Employee_13</t>
  </si>
  <si>
    <t>Employee_14</t>
  </si>
  <si>
    <t>Employee_15</t>
  </si>
  <si>
    <t>Employee_16</t>
  </si>
  <si>
    <t>Employee_17</t>
  </si>
  <si>
    <t>Employee_18</t>
  </si>
  <si>
    <t>Employee_19</t>
  </si>
  <si>
    <t>Employee_20</t>
  </si>
  <si>
    <t>Employee_21</t>
  </si>
  <si>
    <t>finance</t>
  </si>
  <si>
    <t>operations</t>
  </si>
  <si>
    <t>Sales</t>
  </si>
  <si>
    <t>sub1</t>
  </si>
  <si>
    <t>sub3</t>
  </si>
  <si>
    <t>sub2</t>
  </si>
  <si>
    <t>total</t>
  </si>
  <si>
    <t>grance</t>
  </si>
  <si>
    <t>grace total</t>
  </si>
  <si>
    <t>Max</t>
  </si>
  <si>
    <t>Min</t>
  </si>
  <si>
    <t>Avg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</si>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</sst>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6" formatCode="dd\/mm\/yyyy"/>
    <numFmt numFmtId="168" formatCode="dd\/mmmm\/yy"/>
    <numFmt numFmtId="169" formatCode="dd/mmm/yyyy\ "/>
    <numFmt numFmtId="170" formatCode="_ [$₹-4009]\ * #,##0.00_ ;_ [$₹-4009]\ * \-#,##0.00_ ;_ [$₹-4009]\ * &quot;-&quot;??_ ;_ @_ 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4"/>
      <color theme="3" tint="-0.249977111117893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0" fontId="3" fillId="2" borderId="1" xfId="0" applyFont="1" applyFill="1" applyBorder="1"/>
    <xf numFmtId="166" fontId="3" fillId="2" borderId="1" xfId="0" applyNumberFormat="1" applyFont="1" applyFill="1" applyBorder="1"/>
    <xf numFmtId="168" fontId="0" fillId="0" borderId="0" xfId="0" applyNumberFormat="1"/>
    <xf numFmtId="169" fontId="0" fillId="0" borderId="1" xfId="0" applyNumberFormat="1" applyBorder="1"/>
    <xf numFmtId="170" fontId="3" fillId="2" borderId="1" xfId="0" applyNumberFormat="1" applyFont="1" applyFill="1" applyBorder="1"/>
    <xf numFmtId="170" fontId="0" fillId="0" borderId="1" xfId="0" applyNumberFormat="1" applyBorder="1"/>
    <xf numFmtId="0" fontId="1" fillId="2" borderId="0" xfId="0" applyFont="1" applyFill="1"/>
    <xf numFmtId="0" fontId="0" fillId="3" borderId="0" xfId="0" applyFill="1"/>
    <xf numFmtId="0" fontId="0" fillId="0" borderId="2" xfId="0" applyFill="1" applyBorder="1"/>
  </cellXfs>
  <cellStyles count="1">
    <cellStyle name="Normal" xfId="0" builtinId="0"/>
  </cellStyles>
  <dxfs count="32">
    <dxf>
      <fill>
        <patternFill>
          <bgColor theme="7" tint="0.39994506668294322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3B5B4A-5CC3-44A0-9D0D-C54C394FDDA0}">
  <dimension ref="A1:V28"/>
  <sheetViews>
    <sheetView tabSelected="1" workbookViewId="0">
      <selection activeCell="F3" sqref="F3"/>
    </sheetView>
  </sheetViews>
  <sheetFormatPr defaultRowHeight="14.4" x14ac:dyDescent="0.3"/>
  <cols>
    <col min="1" max="1" width="8.88671875" style="1"/>
    <col min="2" max="2" width="21.109375" style="1" customWidth="1"/>
    <col min="3" max="3" width="16.6640625" style="1" customWidth="1"/>
    <col min="4" max="4" width="14.109375" style="1" bestFit="1" customWidth="1"/>
    <col min="5" max="5" width="17.44140625" style="1" customWidth="1"/>
    <col min="6" max="6" width="13.21875" customWidth="1"/>
    <col min="17" max="17" width="13.44140625" customWidth="1"/>
  </cols>
  <sheetData>
    <row r="1" spans="1:22" ht="18" x14ac:dyDescent="0.35">
      <c r="A1" s="2" t="s">
        <v>0</v>
      </c>
      <c r="B1" s="2" t="s">
        <v>1</v>
      </c>
      <c r="C1" s="6" t="s">
        <v>2</v>
      </c>
      <c r="D1" s="2" t="s">
        <v>25</v>
      </c>
      <c r="E1" s="3" t="s">
        <v>24</v>
      </c>
    </row>
    <row r="2" spans="1:22" x14ac:dyDescent="0.3">
      <c r="A2"/>
      <c r="B2"/>
      <c r="C2"/>
      <c r="D2"/>
      <c r="E2"/>
    </row>
    <row r="3" spans="1:22" x14ac:dyDescent="0.3">
      <c r="A3" s="1" t="s">
        <v>3</v>
      </c>
      <c r="B3" s="1" t="s">
        <v>26</v>
      </c>
      <c r="C3" s="7">
        <v>234567</v>
      </c>
      <c r="D3" s="1" t="s">
        <v>47</v>
      </c>
      <c r="E3" s="5">
        <v>43831</v>
      </c>
      <c r="F3" s="10" t="s">
        <v>49</v>
      </c>
    </row>
    <row r="4" spans="1:22" x14ac:dyDescent="0.3">
      <c r="A4" s="1" t="s">
        <v>4</v>
      </c>
      <c r="B4" s="1" t="s">
        <v>27</v>
      </c>
      <c r="C4" s="7">
        <v>123456</v>
      </c>
      <c r="D4" s="1" t="s">
        <v>48</v>
      </c>
      <c r="E4" s="5">
        <v>43832</v>
      </c>
    </row>
    <row r="5" spans="1:22" x14ac:dyDescent="0.3">
      <c r="A5" s="1" t="s">
        <v>5</v>
      </c>
      <c r="B5" s="1" t="s">
        <v>28</v>
      </c>
      <c r="C5" s="7">
        <v>436578</v>
      </c>
      <c r="D5" s="1" t="s">
        <v>49</v>
      </c>
      <c r="E5" s="5">
        <v>43833</v>
      </c>
    </row>
    <row r="6" spans="1:22" x14ac:dyDescent="0.3">
      <c r="A6" s="1" t="s">
        <v>6</v>
      </c>
      <c r="B6" s="1" t="s">
        <v>29</v>
      </c>
      <c r="C6" s="7">
        <v>466878</v>
      </c>
      <c r="D6" s="1" t="s">
        <v>47</v>
      </c>
      <c r="E6" s="5">
        <v>43834</v>
      </c>
    </row>
    <row r="7" spans="1:22" x14ac:dyDescent="0.3">
      <c r="A7" s="1" t="s">
        <v>7</v>
      </c>
      <c r="B7" s="1" t="s">
        <v>30</v>
      </c>
      <c r="C7" s="7">
        <v>567883.5</v>
      </c>
      <c r="D7" s="1" t="s">
        <v>48</v>
      </c>
      <c r="E7" s="5">
        <v>43835</v>
      </c>
    </row>
    <row r="8" spans="1:22" x14ac:dyDescent="0.3">
      <c r="A8" s="1" t="s">
        <v>8</v>
      </c>
      <c r="B8" s="1" t="s">
        <v>31</v>
      </c>
      <c r="C8" s="7">
        <v>668889</v>
      </c>
      <c r="D8" s="1" t="s">
        <v>49</v>
      </c>
      <c r="E8" s="5">
        <v>43836</v>
      </c>
    </row>
    <row r="9" spans="1:22" x14ac:dyDescent="0.3">
      <c r="A9" s="1" t="s">
        <v>9</v>
      </c>
      <c r="B9" s="1" t="s">
        <v>32</v>
      </c>
      <c r="C9" s="7">
        <v>769894.5</v>
      </c>
      <c r="D9" s="1" t="s">
        <v>47</v>
      </c>
      <c r="E9" s="5">
        <v>43837</v>
      </c>
    </row>
    <row r="10" spans="1:22" x14ac:dyDescent="0.3">
      <c r="A10" s="1" t="s">
        <v>10</v>
      </c>
      <c r="B10" s="1" t="s">
        <v>33</v>
      </c>
      <c r="C10" s="7">
        <v>870900</v>
      </c>
      <c r="D10" s="1" t="s">
        <v>48</v>
      </c>
      <c r="E10" s="5">
        <v>43838</v>
      </c>
    </row>
    <row r="11" spans="1:22" x14ac:dyDescent="0.3">
      <c r="A11" s="1" t="s">
        <v>11</v>
      </c>
      <c r="B11" s="1" t="s">
        <v>34</v>
      </c>
      <c r="C11" s="7">
        <v>971905.5</v>
      </c>
      <c r="D11" s="1" t="s">
        <v>49</v>
      </c>
      <c r="E11" s="5">
        <v>43839</v>
      </c>
    </row>
    <row r="12" spans="1:22" x14ac:dyDescent="0.3">
      <c r="A12" s="1" t="s">
        <v>12</v>
      </c>
      <c r="B12" s="1" t="s">
        <v>35</v>
      </c>
      <c r="C12" s="7">
        <v>1072911</v>
      </c>
      <c r="D12" s="1" t="s">
        <v>47</v>
      </c>
      <c r="E12" s="5">
        <v>43840</v>
      </c>
    </row>
    <row r="13" spans="1:22" x14ac:dyDescent="0.3">
      <c r="A13" s="1" t="s">
        <v>13</v>
      </c>
      <c r="B13" s="1" t="s">
        <v>36</v>
      </c>
      <c r="C13" s="7">
        <v>234567</v>
      </c>
      <c r="D13" s="1" t="s">
        <v>48</v>
      </c>
      <c r="E13" s="5">
        <v>43841</v>
      </c>
      <c r="G13" s="1" t="s">
        <v>50</v>
      </c>
      <c r="H13" s="1" t="s">
        <v>52</v>
      </c>
      <c r="I13" s="1" t="s">
        <v>51</v>
      </c>
    </row>
    <row r="14" spans="1:22" x14ac:dyDescent="0.3">
      <c r="A14" s="1" t="s">
        <v>14</v>
      </c>
      <c r="B14" s="1" t="s">
        <v>37</v>
      </c>
      <c r="C14" s="7">
        <v>1274922</v>
      </c>
      <c r="D14" s="1" t="s">
        <v>49</v>
      </c>
      <c r="E14" s="5">
        <v>43842</v>
      </c>
      <c r="G14" s="1">
        <v>79</v>
      </c>
      <c r="H14" s="1">
        <v>86</v>
      </c>
      <c r="I14" s="1">
        <v>21</v>
      </c>
      <c r="M14" s="8" t="s">
        <v>50</v>
      </c>
      <c r="N14" s="8" t="s">
        <v>52</v>
      </c>
      <c r="O14" s="8" t="s">
        <v>51</v>
      </c>
      <c r="P14" s="8"/>
      <c r="Q14" s="8" t="s">
        <v>55</v>
      </c>
      <c r="R14" s="8"/>
      <c r="S14" s="8" t="s">
        <v>56</v>
      </c>
      <c r="T14" s="8" t="s">
        <v>57</v>
      </c>
      <c r="U14" s="8" t="s">
        <v>58</v>
      </c>
      <c r="V14" s="8" t="s">
        <v>59</v>
      </c>
    </row>
    <row r="15" spans="1:22" x14ac:dyDescent="0.3">
      <c r="A15" s="1" t="s">
        <v>15</v>
      </c>
      <c r="B15" s="1" t="s">
        <v>38</v>
      </c>
      <c r="C15" s="7">
        <v>1375927.5</v>
      </c>
      <c r="D15" s="1" t="s">
        <v>47</v>
      </c>
      <c r="E15" s="5">
        <v>43843</v>
      </c>
      <c r="G15" s="1">
        <v>61</v>
      </c>
      <c r="H15" s="1">
        <v>79</v>
      </c>
      <c r="I15" s="1">
        <v>56</v>
      </c>
      <c r="M15">
        <v>79</v>
      </c>
      <c r="N15">
        <v>89</v>
      </c>
      <c r="O15">
        <v>21</v>
      </c>
      <c r="Q15">
        <f>SUM(M15:O15)+$M$28</f>
        <v>199</v>
      </c>
      <c r="S15">
        <f>MAX(M15:O15)</f>
        <v>89</v>
      </c>
      <c r="T15">
        <f>MIN(M15:O15)</f>
        <v>21</v>
      </c>
      <c r="U15">
        <f>AVERAGE(M15:O15)</f>
        <v>63</v>
      </c>
      <c r="V15">
        <f>COUNT(M15:O15)</f>
        <v>3</v>
      </c>
    </row>
    <row r="16" spans="1:22" x14ac:dyDescent="0.3">
      <c r="A16" s="1" t="s">
        <v>16</v>
      </c>
      <c r="B16" s="1" t="s">
        <v>39</v>
      </c>
      <c r="C16" s="7">
        <v>1476933</v>
      </c>
      <c r="D16" s="1" t="s">
        <v>48</v>
      </c>
      <c r="E16" s="5">
        <v>43844</v>
      </c>
      <c r="G16" s="1">
        <v>82</v>
      </c>
      <c r="H16" s="1">
        <v>62</v>
      </c>
      <c r="I16" s="1">
        <v>86</v>
      </c>
      <c r="M16">
        <v>61</v>
      </c>
      <c r="N16">
        <v>79</v>
      </c>
      <c r="O16">
        <v>56</v>
      </c>
      <c r="Q16">
        <f t="shared" ref="Q16:Q24" si="0">SUM(M16:O16)+$M$28</f>
        <v>206</v>
      </c>
      <c r="S16">
        <f t="shared" ref="S16:S24" si="1">MAX(M16:O16)</f>
        <v>79</v>
      </c>
      <c r="T16">
        <f t="shared" ref="T16:T24" si="2">MIN(M16:O16)</f>
        <v>56</v>
      </c>
      <c r="U16">
        <f t="shared" ref="U16:U24" si="3">AVERAGE(M16:O16)</f>
        <v>65.333333333333329</v>
      </c>
      <c r="V16">
        <f t="shared" ref="V16:V24" si="4">COUNT(M16:O16)</f>
        <v>3</v>
      </c>
    </row>
    <row r="17" spans="1:22" x14ac:dyDescent="0.3">
      <c r="A17" s="1" t="s">
        <v>17</v>
      </c>
      <c r="B17" s="1" t="s">
        <v>40</v>
      </c>
      <c r="C17" s="7">
        <v>1577938.5</v>
      </c>
      <c r="D17" s="1" t="s">
        <v>49</v>
      </c>
      <c r="E17" s="5">
        <v>43845</v>
      </c>
      <c r="G17" s="1">
        <v>58</v>
      </c>
      <c r="H17" s="1">
        <v>80</v>
      </c>
      <c r="I17" s="1">
        <v>68</v>
      </c>
      <c r="M17">
        <v>82</v>
      </c>
      <c r="N17">
        <v>62</v>
      </c>
      <c r="O17">
        <v>86</v>
      </c>
      <c r="Q17">
        <f t="shared" si="0"/>
        <v>240</v>
      </c>
      <c r="S17">
        <f t="shared" si="1"/>
        <v>86</v>
      </c>
      <c r="T17">
        <f t="shared" si="2"/>
        <v>62</v>
      </c>
      <c r="U17">
        <f t="shared" si="3"/>
        <v>76.666666666666671</v>
      </c>
      <c r="V17">
        <f t="shared" si="4"/>
        <v>3</v>
      </c>
    </row>
    <row r="18" spans="1:22" x14ac:dyDescent="0.3">
      <c r="A18" s="1" t="s">
        <v>18</v>
      </c>
      <c r="B18" s="1" t="s">
        <v>41</v>
      </c>
      <c r="C18" s="7">
        <v>1678944</v>
      </c>
      <c r="D18" s="1" t="s">
        <v>47</v>
      </c>
      <c r="E18" s="5">
        <v>43846</v>
      </c>
      <c r="G18" s="1">
        <v>52</v>
      </c>
      <c r="H18" s="1">
        <v>65</v>
      </c>
      <c r="I18" s="1">
        <v>58</v>
      </c>
      <c r="M18">
        <v>58</v>
      </c>
      <c r="N18">
        <v>80</v>
      </c>
      <c r="O18">
        <v>68</v>
      </c>
      <c r="Q18">
        <f t="shared" si="0"/>
        <v>216</v>
      </c>
      <c r="S18">
        <f t="shared" si="1"/>
        <v>80</v>
      </c>
      <c r="T18">
        <f t="shared" si="2"/>
        <v>58</v>
      </c>
      <c r="U18">
        <f t="shared" si="3"/>
        <v>68.666666666666671</v>
      </c>
      <c r="V18">
        <f t="shared" si="4"/>
        <v>3</v>
      </c>
    </row>
    <row r="19" spans="1:22" x14ac:dyDescent="0.3">
      <c r="A19" s="1" t="s">
        <v>19</v>
      </c>
      <c r="B19" s="1" t="s">
        <v>42</v>
      </c>
      <c r="C19" s="7">
        <v>1779949.5</v>
      </c>
      <c r="D19" s="1" t="s">
        <v>48</v>
      </c>
      <c r="E19" s="5">
        <v>43847</v>
      </c>
      <c r="G19" s="1">
        <v>44</v>
      </c>
      <c r="H19" s="1">
        <v>83</v>
      </c>
      <c r="I19" s="1">
        <v>90</v>
      </c>
      <c r="M19">
        <v>52</v>
      </c>
      <c r="N19">
        <v>65</v>
      </c>
      <c r="O19">
        <v>58</v>
      </c>
      <c r="Q19">
        <f t="shared" si="0"/>
        <v>185</v>
      </c>
      <c r="S19">
        <f t="shared" si="1"/>
        <v>65</v>
      </c>
      <c r="T19">
        <f t="shared" si="2"/>
        <v>52</v>
      </c>
      <c r="U19">
        <f t="shared" si="3"/>
        <v>58.333333333333336</v>
      </c>
      <c r="V19">
        <f t="shared" si="4"/>
        <v>3</v>
      </c>
    </row>
    <row r="20" spans="1:22" x14ac:dyDescent="0.3">
      <c r="A20" s="1" t="s">
        <v>20</v>
      </c>
      <c r="B20" s="1" t="s">
        <v>43</v>
      </c>
      <c r="C20" s="7">
        <v>1880955</v>
      </c>
      <c r="D20" s="1" t="s">
        <v>49</v>
      </c>
      <c r="E20" s="5">
        <v>43848</v>
      </c>
      <c r="G20" s="1">
        <v>83</v>
      </c>
      <c r="H20" s="1">
        <v>55</v>
      </c>
      <c r="I20" s="1">
        <v>25</v>
      </c>
      <c r="M20">
        <v>44</v>
      </c>
      <c r="N20">
        <v>83</v>
      </c>
      <c r="O20">
        <v>90</v>
      </c>
      <c r="Q20">
        <f t="shared" si="0"/>
        <v>227</v>
      </c>
      <c r="S20">
        <f t="shared" si="1"/>
        <v>90</v>
      </c>
      <c r="T20">
        <f t="shared" si="2"/>
        <v>44</v>
      </c>
      <c r="U20">
        <f t="shared" si="3"/>
        <v>72.333333333333329</v>
      </c>
      <c r="V20">
        <f t="shared" si="4"/>
        <v>3</v>
      </c>
    </row>
    <row r="21" spans="1:22" x14ac:dyDescent="0.3">
      <c r="A21" s="1" t="s">
        <v>21</v>
      </c>
      <c r="B21" s="1" t="s">
        <v>44</v>
      </c>
      <c r="C21" s="7">
        <v>1981960.5</v>
      </c>
      <c r="D21" s="1" t="s">
        <v>47</v>
      </c>
      <c r="E21" s="5">
        <v>43849</v>
      </c>
      <c r="G21" s="1">
        <v>62</v>
      </c>
      <c r="H21" s="1">
        <v>22</v>
      </c>
      <c r="I21" s="1">
        <v>50</v>
      </c>
      <c r="M21">
        <v>83</v>
      </c>
      <c r="N21">
        <v>55</v>
      </c>
      <c r="O21">
        <v>25</v>
      </c>
      <c r="Q21">
        <f t="shared" si="0"/>
        <v>173</v>
      </c>
      <c r="S21">
        <f t="shared" si="1"/>
        <v>83</v>
      </c>
      <c r="T21">
        <f t="shared" si="2"/>
        <v>25</v>
      </c>
      <c r="U21">
        <f t="shared" si="3"/>
        <v>54.333333333333336</v>
      </c>
      <c r="V21">
        <f t="shared" si="4"/>
        <v>3</v>
      </c>
    </row>
    <row r="22" spans="1:22" x14ac:dyDescent="0.3">
      <c r="A22" s="1" t="s">
        <v>22</v>
      </c>
      <c r="B22" s="1" t="s">
        <v>45</v>
      </c>
      <c r="C22" s="7">
        <v>2082966</v>
      </c>
      <c r="D22" s="1" t="s">
        <v>48</v>
      </c>
      <c r="E22" s="5">
        <v>43850</v>
      </c>
      <c r="G22" s="1">
        <v>86</v>
      </c>
      <c r="H22" s="1">
        <v>87</v>
      </c>
      <c r="I22" s="1">
        <v>57</v>
      </c>
      <c r="M22">
        <v>62</v>
      </c>
      <c r="N22">
        <v>22</v>
      </c>
      <c r="O22">
        <v>50</v>
      </c>
      <c r="Q22">
        <f t="shared" si="0"/>
        <v>144</v>
      </c>
      <c r="S22">
        <f t="shared" si="1"/>
        <v>62</v>
      </c>
      <c r="T22">
        <f t="shared" si="2"/>
        <v>22</v>
      </c>
      <c r="U22">
        <f t="shared" si="3"/>
        <v>44.666666666666664</v>
      </c>
      <c r="V22">
        <f t="shared" si="4"/>
        <v>3</v>
      </c>
    </row>
    <row r="23" spans="1:22" x14ac:dyDescent="0.3">
      <c r="A23" s="1" t="s">
        <v>23</v>
      </c>
      <c r="B23" s="1" t="s">
        <v>46</v>
      </c>
      <c r="C23" s="7">
        <v>2183971.5</v>
      </c>
      <c r="D23" s="1" t="s">
        <v>49</v>
      </c>
      <c r="E23" s="5">
        <v>43851</v>
      </c>
      <c r="F23" s="4"/>
      <c r="G23" s="1">
        <v>90</v>
      </c>
      <c r="H23" s="1">
        <v>81</v>
      </c>
      <c r="I23" s="1">
        <v>45</v>
      </c>
      <c r="M23">
        <v>86</v>
      </c>
      <c r="N23">
        <v>87</v>
      </c>
      <c r="O23">
        <v>57</v>
      </c>
      <c r="Q23">
        <f t="shared" si="0"/>
        <v>240</v>
      </c>
      <c r="S23">
        <f t="shared" si="1"/>
        <v>87</v>
      </c>
      <c r="T23">
        <f t="shared" si="2"/>
        <v>57</v>
      </c>
      <c r="U23">
        <f t="shared" si="3"/>
        <v>76.666666666666671</v>
      </c>
      <c r="V23">
        <f t="shared" si="4"/>
        <v>3</v>
      </c>
    </row>
    <row r="24" spans="1:22" x14ac:dyDescent="0.3">
      <c r="C24" s="7"/>
      <c r="E24" s="5"/>
      <c r="F24" s="4"/>
      <c r="G24" s="1"/>
      <c r="H24" s="1"/>
      <c r="I24" s="1"/>
      <c r="M24">
        <v>90</v>
      </c>
      <c r="N24">
        <v>81</v>
      </c>
      <c r="O24">
        <v>45</v>
      </c>
      <c r="Q24">
        <f t="shared" si="0"/>
        <v>226</v>
      </c>
      <c r="S24">
        <f t="shared" si="1"/>
        <v>90</v>
      </c>
      <c r="T24">
        <f t="shared" si="2"/>
        <v>45</v>
      </c>
      <c r="U24">
        <f t="shared" si="3"/>
        <v>72</v>
      </c>
      <c r="V24">
        <f t="shared" si="4"/>
        <v>3</v>
      </c>
    </row>
    <row r="25" spans="1:22" x14ac:dyDescent="0.3">
      <c r="C25" s="7">
        <f>SUM(C3:C23)</f>
        <v>23712897</v>
      </c>
    </row>
    <row r="26" spans="1:22" x14ac:dyDescent="0.3">
      <c r="L26" s="8" t="s">
        <v>53</v>
      </c>
      <c r="M26">
        <f>SUM(M15:M25)</f>
        <v>697</v>
      </c>
      <c r="N26">
        <f t="shared" ref="N26:O26" si="5">SUM(N15:N25)</f>
        <v>703</v>
      </c>
      <c r="O26">
        <f t="shared" si="5"/>
        <v>556</v>
      </c>
    </row>
    <row r="27" spans="1:22" x14ac:dyDescent="0.3">
      <c r="C27" s="7">
        <f>SUM(C3:C25)</f>
        <v>47425794</v>
      </c>
    </row>
    <row r="28" spans="1:22" x14ac:dyDescent="0.3">
      <c r="L28" s="9" t="s">
        <v>54</v>
      </c>
      <c r="M28">
        <v>10</v>
      </c>
    </row>
  </sheetData>
  <phoneticPr fontId="2" type="noConversion"/>
  <conditionalFormatting sqref="G14:I24">
    <cfRule type="colorScale" priority="1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C1 C25:C29">
    <cfRule type="duplicateValues" dxfId="15" priority="12"/>
  </conditionalFormatting>
  <conditionalFormatting sqref="M15:O24">
    <cfRule type="top10" dxfId="14" priority="11" rank="10"/>
  </conditionalFormatting>
  <conditionalFormatting sqref="Q15:Q24">
    <cfRule type="iconSet" priority="9">
      <iconSet iconSet="4Rating">
        <cfvo type="percent" val="0"/>
        <cfvo type="percent" val="25"/>
        <cfvo type="percent" val="50"/>
        <cfvo type="percent" val="75"/>
      </iconSet>
    </cfRule>
  </conditionalFormatting>
  <conditionalFormatting sqref="S15:S24">
    <cfRule type="iconSet" priority="8">
      <iconSet iconSet="5Quarters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T15:T24">
    <cfRule type="iconSet" priority="6">
      <iconSet>
        <cfvo type="percent" val="0"/>
        <cfvo type="percent" val="60"/>
        <cfvo type="percent" val="80"/>
      </iconSet>
    </cfRule>
    <cfRule type="iconSet" priority="7">
      <iconSet iconSet="3Symbols2">
        <cfvo type="percent" val="0"/>
        <cfvo type="percent" val="33"/>
        <cfvo type="percent" val="67"/>
      </iconSet>
    </cfRule>
  </conditionalFormatting>
  <conditionalFormatting sqref="F3">
    <cfRule type="expression" dxfId="11" priority="3">
      <formula>$D1048559="Sales"</formula>
    </cfRule>
    <cfRule type="expression" dxfId="12" priority="4">
      <formula>$C3="Sales"</formula>
    </cfRule>
    <cfRule type="expression" dxfId="13" priority="5">
      <formula>$D$3="Sales"</formula>
    </cfRule>
    <cfRule type="expression" dxfId="10" priority="2">
      <formula>$D3="Sales"</formula>
    </cfRule>
  </conditionalFormatting>
  <conditionalFormatting sqref="A3:E24">
    <cfRule type="expression" dxfId="0" priority="1">
      <formula>$D3=$F$3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0" id="{31996701-9ED0-496B-9DE4-8ADB2297AFEA}">
            <x14:iconSet iconSet="3Star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M15:P24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Neeraj Rawat</dc:creator>
  <cp:lastModifiedBy>Neeraj Rawat</cp:lastModifiedBy>
  <dcterms:created xsi:type="dcterms:W3CDTF">2025-11-13T12:51:35Z</dcterms:created>
  <dcterms:modified xsi:type="dcterms:W3CDTF">2025-11-13T15:41:24Z</dcterms:modified>
</cp:coreProperties>
</file>