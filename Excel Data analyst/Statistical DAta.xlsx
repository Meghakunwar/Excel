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8d9d5d3be60dec/Desktop/Excel Data analyst/"/>
    </mc:Choice>
  </mc:AlternateContent>
  <xr:revisionPtr revIDLastSave="10" documentId="13_ncr:1_{3B1366B0-C9BF-437D-ADFE-5AB7F9B50316}" xr6:coauthVersionLast="47" xr6:coauthVersionMax="47" xr10:uidLastSave="{A07E2645-C51F-4ED2-B231-C81272921020}"/>
  <bookViews>
    <workbookView xWindow="-108" yWindow="-108" windowWidth="23256" windowHeight="12456" xr2:uid="{5F2AA2BF-ADFA-46B4-A622-388F02D1ACAC}"/>
  </bookViews>
  <sheets>
    <sheet name="Sales_Data" sheetId="1" r:id="rId1"/>
  </sheets>
  <definedNames>
    <definedName name="Q_1">Sales_Data!$L$1:$M$6</definedName>
    <definedName name="Q_3">Sales_Data!$L$19:$M$22</definedName>
    <definedName name="Q_5">Sales_Data!$L$33:$M$38</definedName>
    <definedName name="q_7">Sales_Data!$L$42:$N$57</definedName>
    <definedName name="sec_question">Sales_Data!$L$10:$Q$15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3" i="1" l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35" i="1"/>
  <c r="M36" i="1"/>
  <c r="M37" i="1"/>
  <c r="M38" i="1"/>
  <c r="M34" i="1"/>
  <c r="L31" i="1"/>
  <c r="M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M21" i="1"/>
  <c r="M22" i="1"/>
  <c r="M20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N11" i="1"/>
  <c r="O11" i="1"/>
  <c r="P11" i="1"/>
  <c r="Q11" i="1"/>
  <c r="M11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<sst xmlns="http://schemas.openxmlformats.org/spreadsheetml/2006/main" count="6120" uniqueCount="70">
  <si>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</si>
  <si>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</si>
  <si>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</si>
  <si>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</si>
  <si>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</si>
  <si>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</si>
  <si>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</si>
  <si>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</si>
  <si>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</si>
  <si>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</si>
  <si>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</si>
  <si>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</si>
  <si>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</si>
  <si>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</si>
  <si>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</si>
  <si>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</si>
  <si>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</si>
  <si>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</si>
  <si>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</si>
  <si>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</si>
  <si>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</si>
  <si>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</si>
  <si>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</si>
  <si>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</si>
  <si>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</si>
  <si>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</si>
  <si>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</si>
  <si>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</si>
  <si>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</si>
  <si>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</si>
  <si>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</si>
  <si>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</si>
  <si>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</si>
  <si>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</si>
  <si>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</si>
  <si>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</si>
  <si>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</si>
  <si>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</si>
  <si>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</si>
  <si>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</si>
  <si>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</si>
  <si>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</si>
  <si>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</si>
  <si>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</si>
  <si>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</si>
  <si>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</si>
  <si>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</si>
  <si>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</si>
  <si>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</si>
  <si>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</si>
  <si>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</si>
  <si>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</si>
  <si>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</si>
  <si>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</si>
  <si>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</si>
  <si>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</si>
  <si>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</si>
  <si>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</si>
  <si>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</si>
  <si>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</si>
  <si>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</si>
  <si>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</si>
  <si>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</si>
  <si>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</si>
  <si>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</si>
  <si>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</si>
  <si>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</si>
  <si>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</si>
  <si>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State/Category</t>
  </si>
  <si>
    <t>Region/Product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</si>
</sst>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XZ1001"/>
  <sheetViews>
    <sheetView tabSelected="1" topLeftCell="H34" zoomScale="130" zoomScaleNormal="130" workbookViewId="0">
      <selection activeCell="O21" sqref="O21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0.6640625" bestFit="1" customWidth="1"/>
    <col min="4" max="4" width="11.88671875" customWidth="1"/>
    <col min="5" max="5" width="10.44140625" customWidth="1"/>
    <col min="6" max="6" width="15.33203125" bestFit="1" customWidth="1"/>
    <col min="7" max="7" width="12.88671875" bestFit="1" customWidth="1"/>
    <col min="8" max="8" width="8.109375" bestFit="1" customWidth="1"/>
    <col min="9" max="9" width="13.44140625" customWidth="1"/>
    <col min="10" max="10" width="12.33203125" bestFit="1" customWidth="1"/>
    <col min="11" max="11" width="11.88671875" customWidth="1"/>
    <col min="12" max="12" width="15.33203125" customWidth="1"/>
    <col min="13" max="13" width="11.6640625" customWidth="1"/>
    <col min="14" max="14" width="11" customWidth="1"/>
    <col min="15" max="15" width="13.88671875" customWidth="1"/>
    <col min="17" max="17" width="10" bestFit="1" customWidth="1"/>
    <col min="19" max="20" width="12.88671875" bestFit="1" customWidth="1"/>
    <col min="41" max="41" width="11.88671875" customWidth="1"/>
    <col min="650" max="650" width="10.6640625" bestFit="1" customWidth="1"/>
  </cols>
  <sheetData>
    <row r="1" spans="1:65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3</v>
      </c>
      <c r="O1" s="2"/>
      <c r="S1" s="2" t="s">
        <v>6</v>
      </c>
      <c r="AO1" s="2" t="s">
        <v>3</v>
      </c>
      <c r="XZ1" s="2" t="s">
        <v>2</v>
      </c>
    </row>
    <row r="2" spans="1:650" x14ac:dyDescent="0.3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L2" t="s">
        <v>12</v>
      </c>
      <c r="M2">
        <f>COUNTIF(D1:D1001,L2)</f>
        <v>207</v>
      </c>
      <c r="S2" t="s">
        <v>15</v>
      </c>
      <c r="AO2" t="s">
        <v>12</v>
      </c>
      <c r="XZ2" t="s">
        <v>11</v>
      </c>
    </row>
    <row r="3" spans="1:650" x14ac:dyDescent="0.3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L3" t="s">
        <v>18</v>
      </c>
      <c r="M3">
        <f t="shared" ref="M3:M6" si="0">COUNTIF(D2:D1002,L3)</f>
        <v>208</v>
      </c>
      <c r="S3" t="s">
        <v>21</v>
      </c>
      <c r="AO3" t="s">
        <v>18</v>
      </c>
      <c r="XZ3" t="s">
        <v>17</v>
      </c>
    </row>
    <row r="4" spans="1:650" x14ac:dyDescent="0.3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L4" t="s">
        <v>24</v>
      </c>
      <c r="M4">
        <f t="shared" si="0"/>
        <v>212</v>
      </c>
      <c r="S4" t="s">
        <v>27</v>
      </c>
      <c r="AO4" t="s">
        <v>24</v>
      </c>
      <c r="XZ4" t="s">
        <v>23</v>
      </c>
    </row>
    <row r="5" spans="1:650" x14ac:dyDescent="0.3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L5" t="s">
        <v>41</v>
      </c>
      <c r="M5">
        <f t="shared" si="0"/>
        <v>180</v>
      </c>
      <c r="S5" t="s">
        <v>31</v>
      </c>
      <c r="AO5" t="s">
        <v>41</v>
      </c>
      <c r="XZ5" t="s">
        <v>25</v>
      </c>
    </row>
    <row r="6" spans="1:650" x14ac:dyDescent="0.3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L6" t="s">
        <v>48</v>
      </c>
      <c r="M6">
        <f t="shared" si="0"/>
        <v>193</v>
      </c>
      <c r="S6" t="s">
        <v>34</v>
      </c>
      <c r="AO6" t="s">
        <v>48</v>
      </c>
      <c r="XZ6" t="s">
        <v>29</v>
      </c>
    </row>
    <row r="7" spans="1:650" x14ac:dyDescent="0.3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  <c r="S7" t="s">
        <v>38</v>
      </c>
      <c r="XZ7" t="s">
        <v>33</v>
      </c>
    </row>
    <row r="8" spans="1:650" x14ac:dyDescent="0.3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  <c r="O8" s="2"/>
      <c r="S8" t="s">
        <v>42</v>
      </c>
      <c r="XZ8" t="s">
        <v>36</v>
      </c>
    </row>
    <row r="9" spans="1:650" x14ac:dyDescent="0.3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S9" t="s">
        <v>43</v>
      </c>
      <c r="XZ9" t="s">
        <v>40</v>
      </c>
    </row>
    <row r="10" spans="1:650" x14ac:dyDescent="0.3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  <c r="L10" s="2" t="s">
        <v>68</v>
      </c>
      <c r="M10" t="s">
        <v>14</v>
      </c>
      <c r="N10" t="s">
        <v>20</v>
      </c>
      <c r="O10" t="s">
        <v>26</v>
      </c>
      <c r="P10" t="s">
        <v>30</v>
      </c>
      <c r="Q10" t="s">
        <v>37</v>
      </c>
      <c r="S10" t="s">
        <v>45</v>
      </c>
      <c r="XZ10" t="s">
        <v>47</v>
      </c>
    </row>
    <row r="11" spans="1:650" x14ac:dyDescent="0.3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L11" t="s">
        <v>12</v>
      </c>
      <c r="M11">
        <f>COUNTIFS($D:$D,$L11,$F:$F,M$10)</f>
        <v>44</v>
      </c>
      <c r="N11">
        <f t="shared" ref="N11:Q15" si="1">COUNTIFS($D:$D,$L11,$F:$F,N$10)</f>
        <v>41</v>
      </c>
      <c r="O11">
        <f t="shared" si="1"/>
        <v>49</v>
      </c>
      <c r="P11">
        <f t="shared" si="1"/>
        <v>34</v>
      </c>
      <c r="Q11">
        <f t="shared" si="1"/>
        <v>39</v>
      </c>
      <c r="S11" t="s">
        <v>52</v>
      </c>
      <c r="XZ11" t="s">
        <v>50</v>
      </c>
    </row>
    <row r="12" spans="1:650" x14ac:dyDescent="0.3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  <c r="L12" t="s">
        <v>18</v>
      </c>
      <c r="M12">
        <f t="shared" ref="M12:M15" si="2">COUNTIFS($D:$D,$L12,$F:$F,M$10)</f>
        <v>41</v>
      </c>
      <c r="N12">
        <f t="shared" si="1"/>
        <v>33</v>
      </c>
      <c r="O12">
        <f t="shared" si="1"/>
        <v>45</v>
      </c>
      <c r="P12">
        <f t="shared" si="1"/>
        <v>43</v>
      </c>
      <c r="Q12">
        <f t="shared" si="1"/>
        <v>46</v>
      </c>
      <c r="S12" t="s">
        <v>56</v>
      </c>
      <c r="XZ12" t="s">
        <v>51</v>
      </c>
    </row>
    <row r="13" spans="1:650" x14ac:dyDescent="0.3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  <c r="L13" t="s">
        <v>24</v>
      </c>
      <c r="M13">
        <f t="shared" si="2"/>
        <v>42</v>
      </c>
      <c r="N13">
        <f t="shared" si="1"/>
        <v>46</v>
      </c>
      <c r="O13">
        <f t="shared" si="1"/>
        <v>42</v>
      </c>
      <c r="P13">
        <f t="shared" si="1"/>
        <v>42</v>
      </c>
      <c r="Q13">
        <f t="shared" si="1"/>
        <v>40</v>
      </c>
      <c r="S13" t="s">
        <v>57</v>
      </c>
      <c r="XZ13" t="s">
        <v>54</v>
      </c>
    </row>
    <row r="14" spans="1:650" x14ac:dyDescent="0.3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  <c r="L14" t="s">
        <v>41</v>
      </c>
      <c r="M14">
        <f t="shared" si="2"/>
        <v>32</v>
      </c>
      <c r="N14">
        <f t="shared" si="1"/>
        <v>35</v>
      </c>
      <c r="O14">
        <f t="shared" si="1"/>
        <v>41</v>
      </c>
      <c r="P14">
        <f t="shared" si="1"/>
        <v>36</v>
      </c>
      <c r="Q14">
        <f t="shared" si="1"/>
        <v>36</v>
      </c>
      <c r="S14" t="s">
        <v>58</v>
      </c>
      <c r="XZ14" t="s">
        <v>55</v>
      </c>
    </row>
    <row r="15" spans="1:650" x14ac:dyDescent="0.3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  <c r="L15" t="s">
        <v>48</v>
      </c>
      <c r="M15">
        <f t="shared" si="2"/>
        <v>46</v>
      </c>
      <c r="N15">
        <f t="shared" si="1"/>
        <v>39</v>
      </c>
      <c r="O15">
        <f t="shared" si="1"/>
        <v>33</v>
      </c>
      <c r="P15">
        <f t="shared" si="1"/>
        <v>34</v>
      </c>
      <c r="Q15">
        <f t="shared" si="1"/>
        <v>41</v>
      </c>
      <c r="S15" t="s">
        <v>59</v>
      </c>
      <c r="XZ15" t="s">
        <v>64</v>
      </c>
    </row>
    <row r="16" spans="1:650" x14ac:dyDescent="0.3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  <c r="S16" t="s">
        <v>60</v>
      </c>
      <c r="XZ16" t="s">
        <v>65</v>
      </c>
    </row>
    <row r="17" spans="1:32" x14ac:dyDescent="0.3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S17" t="s">
        <v>61</v>
      </c>
    </row>
    <row r="18" spans="1:32" x14ac:dyDescent="0.3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S18" t="s">
        <v>62</v>
      </c>
    </row>
    <row r="19" spans="1:32" x14ac:dyDescent="0.3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L19" s="2" t="s">
        <v>4</v>
      </c>
      <c r="S19" t="s">
        <v>63</v>
      </c>
    </row>
    <row r="20" spans="1:32" x14ac:dyDescent="0.3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L20" t="s">
        <v>13</v>
      </c>
      <c r="M20">
        <f>SUMIF(E:E,L20,H:H)</f>
        <v>4073</v>
      </c>
      <c r="S20" t="s">
        <v>66</v>
      </c>
    </row>
    <row r="21" spans="1:32" x14ac:dyDescent="0.3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  <c r="L21" t="s">
        <v>19</v>
      </c>
      <c r="M21">
        <f t="shared" ref="M21:M22" si="3">SUMIF(E:E,L21,H:H)</f>
        <v>4434</v>
      </c>
      <c r="S21" t="s">
        <v>67</v>
      </c>
    </row>
    <row r="22" spans="1:32" x14ac:dyDescent="0.3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L22" t="s">
        <v>49</v>
      </c>
      <c r="M22">
        <f t="shared" si="3"/>
        <v>2067</v>
      </c>
    </row>
    <row r="23" spans="1:32" x14ac:dyDescent="0.3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</row>
    <row r="24" spans="1:32" x14ac:dyDescent="0.3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</row>
    <row r="25" spans="1:32" x14ac:dyDescent="0.3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</row>
    <row r="26" spans="1:32" x14ac:dyDescent="0.3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L26" s="2" t="s">
        <v>69</v>
      </c>
      <c r="M26" t="s">
        <v>15</v>
      </c>
      <c r="N26" t="s">
        <v>21</v>
      </c>
      <c r="O26" t="s">
        <v>27</v>
      </c>
      <c r="P26" t="s">
        <v>31</v>
      </c>
      <c r="Q26" t="s">
        <v>34</v>
      </c>
      <c r="R26" t="s">
        <v>38</v>
      </c>
      <c r="S26" t="s">
        <v>42</v>
      </c>
      <c r="T26" t="s">
        <v>43</v>
      </c>
      <c r="U26" t="s">
        <v>45</v>
      </c>
      <c r="V26" t="s">
        <v>52</v>
      </c>
      <c r="W26" t="s">
        <v>56</v>
      </c>
      <c r="X26" t="s">
        <v>57</v>
      </c>
      <c r="Y26" t="s">
        <v>58</v>
      </c>
      <c r="Z26" t="s">
        <v>59</v>
      </c>
      <c r="AA26" t="s">
        <v>60</v>
      </c>
      <c r="AB26" t="s">
        <v>61</v>
      </c>
      <c r="AC26" t="s">
        <v>62</v>
      </c>
      <c r="AD26" t="s">
        <v>63</v>
      </c>
      <c r="AE26" t="s">
        <v>66</v>
      </c>
      <c r="AF26" t="s">
        <v>67</v>
      </c>
    </row>
    <row r="27" spans="1:32" x14ac:dyDescent="0.3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L27" t="s">
        <v>13</v>
      </c>
      <c r="M27">
        <f>SUMIFS($H:$H,$G:$G,M$26,$E:$E,$L27)</f>
        <v>195</v>
      </c>
      <c r="N27">
        <f t="shared" ref="N27:AF29" si="4">SUMIFS($H:$H,$G:$G,N$26,$E:$E,$L27)</f>
        <v>299</v>
      </c>
      <c r="O27">
        <f t="shared" si="4"/>
        <v>333</v>
      </c>
      <c r="P27">
        <f t="shared" si="4"/>
        <v>212</v>
      </c>
      <c r="Q27">
        <f t="shared" si="4"/>
        <v>221</v>
      </c>
      <c r="R27">
        <f t="shared" si="4"/>
        <v>136</v>
      </c>
      <c r="S27">
        <f t="shared" si="4"/>
        <v>224</v>
      </c>
      <c r="T27">
        <f t="shared" si="4"/>
        <v>240</v>
      </c>
      <c r="U27">
        <f t="shared" si="4"/>
        <v>205</v>
      </c>
      <c r="V27">
        <f t="shared" si="4"/>
        <v>149</v>
      </c>
      <c r="W27">
        <f t="shared" si="4"/>
        <v>166</v>
      </c>
      <c r="X27">
        <f t="shared" si="4"/>
        <v>269</v>
      </c>
      <c r="Y27">
        <f t="shared" si="4"/>
        <v>140</v>
      </c>
      <c r="Z27">
        <f t="shared" si="4"/>
        <v>124</v>
      </c>
      <c r="AA27">
        <f t="shared" si="4"/>
        <v>179</v>
      </c>
      <c r="AB27">
        <f t="shared" si="4"/>
        <v>241</v>
      </c>
      <c r="AC27">
        <f t="shared" si="4"/>
        <v>150</v>
      </c>
      <c r="AD27">
        <f t="shared" si="4"/>
        <v>216</v>
      </c>
      <c r="AE27">
        <f t="shared" si="4"/>
        <v>188</v>
      </c>
      <c r="AF27">
        <f t="shared" si="4"/>
        <v>186</v>
      </c>
    </row>
    <row r="28" spans="1:32" x14ac:dyDescent="0.3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L28" t="s">
        <v>19</v>
      </c>
      <c r="M28">
        <f t="shared" ref="M28:M29" si="5">SUMIFS($H:$H,$G:$G,M$26,$E:$E,$L28)</f>
        <v>126</v>
      </c>
      <c r="N28">
        <f t="shared" si="4"/>
        <v>227</v>
      </c>
      <c r="O28">
        <f t="shared" si="4"/>
        <v>218</v>
      </c>
      <c r="P28">
        <f t="shared" si="4"/>
        <v>170</v>
      </c>
      <c r="Q28">
        <f t="shared" si="4"/>
        <v>196</v>
      </c>
      <c r="R28">
        <f t="shared" si="4"/>
        <v>289</v>
      </c>
      <c r="S28">
        <f t="shared" si="4"/>
        <v>161</v>
      </c>
      <c r="T28">
        <f t="shared" si="4"/>
        <v>187</v>
      </c>
      <c r="U28">
        <f t="shared" si="4"/>
        <v>246</v>
      </c>
      <c r="V28">
        <f t="shared" si="4"/>
        <v>193</v>
      </c>
      <c r="W28">
        <f t="shared" si="4"/>
        <v>286</v>
      </c>
      <c r="X28">
        <f t="shared" si="4"/>
        <v>201</v>
      </c>
      <c r="Y28">
        <f t="shared" si="4"/>
        <v>269</v>
      </c>
      <c r="Z28">
        <f t="shared" si="4"/>
        <v>309</v>
      </c>
      <c r="AA28">
        <f t="shared" si="4"/>
        <v>258</v>
      </c>
      <c r="AB28">
        <f t="shared" si="4"/>
        <v>205</v>
      </c>
      <c r="AC28">
        <f t="shared" si="4"/>
        <v>146</v>
      </c>
      <c r="AD28">
        <f t="shared" si="4"/>
        <v>272</v>
      </c>
      <c r="AE28">
        <f t="shared" si="4"/>
        <v>212</v>
      </c>
      <c r="AF28">
        <f t="shared" si="4"/>
        <v>263</v>
      </c>
    </row>
    <row r="29" spans="1:32" x14ac:dyDescent="0.3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  <c r="L29" t="s">
        <v>49</v>
      </c>
      <c r="M29">
        <f t="shared" si="5"/>
        <v>122</v>
      </c>
      <c r="N29">
        <f t="shared" si="4"/>
        <v>100</v>
      </c>
      <c r="O29">
        <f t="shared" si="4"/>
        <v>94</v>
      </c>
      <c r="P29">
        <f t="shared" si="4"/>
        <v>82</v>
      </c>
      <c r="Q29">
        <f t="shared" si="4"/>
        <v>102</v>
      </c>
      <c r="R29">
        <f t="shared" si="4"/>
        <v>113</v>
      </c>
      <c r="S29">
        <f t="shared" si="4"/>
        <v>76</v>
      </c>
      <c r="T29">
        <f t="shared" si="4"/>
        <v>117</v>
      </c>
      <c r="U29">
        <f t="shared" si="4"/>
        <v>100</v>
      </c>
      <c r="V29">
        <f t="shared" si="4"/>
        <v>93</v>
      </c>
      <c r="W29">
        <f t="shared" si="4"/>
        <v>141</v>
      </c>
      <c r="X29">
        <f t="shared" si="4"/>
        <v>98</v>
      </c>
      <c r="Y29">
        <f t="shared" si="4"/>
        <v>49</v>
      </c>
      <c r="Z29">
        <f t="shared" si="4"/>
        <v>79</v>
      </c>
      <c r="AA29">
        <f t="shared" si="4"/>
        <v>162</v>
      </c>
      <c r="AB29">
        <f t="shared" si="4"/>
        <v>178</v>
      </c>
      <c r="AC29">
        <f t="shared" si="4"/>
        <v>105</v>
      </c>
      <c r="AD29">
        <f t="shared" si="4"/>
        <v>141</v>
      </c>
      <c r="AE29">
        <f t="shared" si="4"/>
        <v>42</v>
      </c>
      <c r="AF29">
        <f t="shared" si="4"/>
        <v>73</v>
      </c>
    </row>
    <row r="30" spans="1:32" x14ac:dyDescent="0.3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</row>
    <row r="31" spans="1:32" x14ac:dyDescent="0.3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  <c r="L31" t="e">
        <f>AVERAGEIF(L34,M31)</f>
        <v>#DIV/0!</v>
      </c>
    </row>
    <row r="32" spans="1:32" x14ac:dyDescent="0.3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</row>
    <row r="33" spans="1:13" x14ac:dyDescent="0.3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  <c r="L33" s="2" t="s">
        <v>3</v>
      </c>
    </row>
    <row r="34" spans="1:13" x14ac:dyDescent="0.3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  <c r="L34" t="s">
        <v>12</v>
      </c>
      <c r="M34">
        <f>AVERAGEIF(D:D,L34,J:J)</f>
        <v>27830.673719806764</v>
      </c>
    </row>
    <row r="35" spans="1:13" x14ac:dyDescent="0.3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  <c r="L35" t="s">
        <v>18</v>
      </c>
      <c r="M35">
        <f t="shared" ref="M35:M38" si="6">AVERAGEIF(D:D,L35,J:J)</f>
        <v>27134.402211538465</v>
      </c>
    </row>
    <row r="36" spans="1:13" x14ac:dyDescent="0.3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  <c r="L36" t="s">
        <v>24</v>
      </c>
      <c r="M36">
        <f t="shared" si="6"/>
        <v>26483.015047169814</v>
      </c>
    </row>
    <row r="37" spans="1:13" x14ac:dyDescent="0.3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  <c r="L37" t="s">
        <v>41</v>
      </c>
      <c r="M37">
        <f t="shared" si="6"/>
        <v>28533.112000000012</v>
      </c>
    </row>
    <row r="38" spans="1:13" x14ac:dyDescent="0.3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  <c r="L38" t="s">
        <v>48</v>
      </c>
      <c r="M38">
        <f t="shared" si="6"/>
        <v>26873.913056994821</v>
      </c>
    </row>
    <row r="39" spans="1:13" x14ac:dyDescent="0.3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</row>
    <row r="40" spans="1:13" x14ac:dyDescent="0.3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</row>
    <row r="41" spans="1:13" x14ac:dyDescent="0.3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</row>
    <row r="42" spans="1:13" x14ac:dyDescent="0.3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  <c r="L42" s="2" t="s">
        <v>2</v>
      </c>
    </row>
    <row r="43" spans="1:13" x14ac:dyDescent="0.3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  <c r="L43" t="s">
        <v>11</v>
      </c>
      <c r="M43">
        <f>_xlfn.MAXIFS(J:J,C:C,L43)</f>
        <v>87316.38</v>
      </c>
    </row>
    <row r="44" spans="1:13" x14ac:dyDescent="0.3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  <c r="L44" t="s">
        <v>17</v>
      </c>
      <c r="M44">
        <f t="shared" ref="M44:M57" si="7">_xlfn.MAXIFS(J:J,C:C,L44)</f>
        <v>95022.8</v>
      </c>
    </row>
    <row r="45" spans="1:13" x14ac:dyDescent="0.3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  <c r="L45" t="s">
        <v>23</v>
      </c>
      <c r="M45">
        <f t="shared" si="7"/>
        <v>82928.160000000003</v>
      </c>
    </row>
    <row r="46" spans="1:13" x14ac:dyDescent="0.3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  <c r="L46" t="s">
        <v>25</v>
      </c>
      <c r="M46">
        <f t="shared" si="7"/>
        <v>87949.2</v>
      </c>
    </row>
    <row r="47" spans="1:13" x14ac:dyDescent="0.3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  <c r="L47" t="s">
        <v>29</v>
      </c>
      <c r="M47">
        <f t="shared" si="7"/>
        <v>99406.6</v>
      </c>
    </row>
    <row r="48" spans="1:13" x14ac:dyDescent="0.3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  <c r="L48" t="s">
        <v>33</v>
      </c>
      <c r="M48">
        <f t="shared" si="7"/>
        <v>94929.32</v>
      </c>
    </row>
    <row r="49" spans="1:13" x14ac:dyDescent="0.3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  <c r="L49" t="s">
        <v>36</v>
      </c>
      <c r="M49">
        <f t="shared" si="7"/>
        <v>87311.6</v>
      </c>
    </row>
    <row r="50" spans="1:13" x14ac:dyDescent="0.3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  <c r="L50" t="s">
        <v>40</v>
      </c>
      <c r="M50">
        <f t="shared" si="7"/>
        <v>97123.4</v>
      </c>
    </row>
    <row r="51" spans="1:13" x14ac:dyDescent="0.3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  <c r="L51" t="s">
        <v>47</v>
      </c>
      <c r="M51">
        <f t="shared" si="7"/>
        <v>94230.2</v>
      </c>
    </row>
    <row r="52" spans="1:13" x14ac:dyDescent="0.3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  <c r="L52" t="s">
        <v>50</v>
      </c>
      <c r="M52">
        <f t="shared" si="7"/>
        <v>79546.16</v>
      </c>
    </row>
    <row r="53" spans="1:13" x14ac:dyDescent="0.3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  <c r="L53" t="s">
        <v>51</v>
      </c>
      <c r="M53">
        <f t="shared" si="7"/>
        <v>74713.86</v>
      </c>
    </row>
    <row r="54" spans="1:13" x14ac:dyDescent="0.3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  <c r="L54" t="s">
        <v>54</v>
      </c>
      <c r="M54">
        <f t="shared" si="7"/>
        <v>77219.199999999997</v>
      </c>
    </row>
    <row r="55" spans="1:13" x14ac:dyDescent="0.3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  <c r="L55" t="s">
        <v>55</v>
      </c>
      <c r="M55">
        <f t="shared" si="7"/>
        <v>85758.399999999994</v>
      </c>
    </row>
    <row r="56" spans="1:13" x14ac:dyDescent="0.3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  <c r="L56" t="s">
        <v>64</v>
      </c>
      <c r="M56">
        <f t="shared" si="7"/>
        <v>78513</v>
      </c>
    </row>
    <row r="57" spans="1:13" x14ac:dyDescent="0.3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  <c r="L57" t="s">
        <v>65</v>
      </c>
      <c r="M57">
        <f t="shared" si="7"/>
        <v>69317.13</v>
      </c>
    </row>
    <row r="58" spans="1:13" x14ac:dyDescent="0.3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3" x14ac:dyDescent="0.3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3" x14ac:dyDescent="0.3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3" x14ac:dyDescent="0.3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3" x14ac:dyDescent="0.3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3" x14ac:dyDescent="0.3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3" x14ac:dyDescent="0.3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 x14ac:dyDescent="0.3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 x14ac:dyDescent="0.3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 x14ac:dyDescent="0.3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Sales_Data</vt:lpstr>
      <vt:lpstr>Q_1</vt:lpstr>
      <vt:lpstr>Q_3</vt:lpstr>
      <vt:lpstr>Q_5</vt:lpstr>
      <vt:lpstr>q_7</vt:lpstr>
      <vt:lpstr>sec_question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Neeraj Rawat</cp:lastModifiedBy>
  <dcterms:created xsi:type="dcterms:W3CDTF">2024-12-18T09:13:38Z</dcterms:created>
  <dcterms:modified xsi:type="dcterms:W3CDTF">2025-11-14T16:37:14Z</dcterms:modified>
</cp:coreProperties>
</file>